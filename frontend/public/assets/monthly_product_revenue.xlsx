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roduct Revenue" sheetId="1" state="visible" r:id="rId1"/>
    <sheet xmlns:r="http://schemas.openxmlformats.org/officeDocument/2006/relationships" name="Revenu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00080"/>
    </font>
    <font>
      <b val="1"/>
      <color rgb="00008000"/>
    </font>
    <font>
      <b val="1"/>
      <color rgb="00800000"/>
    </font>
    <font>
      <b val="1"/>
      <color rgb="00000080"/>
      <sz val="16"/>
    </font>
    <font>
      <b val="1"/>
      <color rgb="00000080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6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Product Line Monthly Revenue Report - 2024</t>
        </is>
      </c>
    </row>
    <row r="2">
      <c r="A2" s="2" t="inlineStr">
        <is>
          <t>Product Line</t>
        </is>
      </c>
      <c r="B2" s="2" t="inlineStr">
        <is>
          <t>January</t>
        </is>
      </c>
      <c r="C2" s="2" t="inlineStr">
        <is>
          <t>February</t>
        </is>
      </c>
      <c r="D2" s="2" t="inlineStr">
        <is>
          <t>March</t>
        </is>
      </c>
      <c r="E2" s="2" t="inlineStr">
        <is>
          <t>April</t>
        </is>
      </c>
      <c r="F2" s="2" t="inlineStr">
        <is>
          <t>May</t>
        </is>
      </c>
      <c r="G2" s="2" t="inlineStr">
        <is>
          <t>June</t>
        </is>
      </c>
      <c r="H2" s="2" t="inlineStr">
        <is>
          <t>July</t>
        </is>
      </c>
      <c r="I2" s="2" t="inlineStr">
        <is>
          <t>August</t>
        </is>
      </c>
      <c r="J2" s="2" t="inlineStr">
        <is>
          <t>September</t>
        </is>
      </c>
      <c r="K2" s="2" t="inlineStr">
        <is>
          <t>October</t>
        </is>
      </c>
      <c r="L2" s="2" t="inlineStr">
        <is>
          <t>November</t>
        </is>
      </c>
      <c r="M2" s="2" t="inlineStr">
        <is>
          <t>December</t>
        </is>
      </c>
      <c r="N2" s="2" t="inlineStr">
        <is>
          <t>Total Revenue</t>
        </is>
      </c>
    </row>
    <row r="3">
      <c r="A3" s="3" t="inlineStr">
        <is>
          <t>Software Solutions</t>
        </is>
      </c>
      <c r="B3" s="4" t="n">
        <v>752720</v>
      </c>
      <c r="C3" s="4" t="n">
        <v>619546</v>
      </c>
      <c r="D3" s="4" t="n">
        <v>792632</v>
      </c>
      <c r="E3" s="4" t="n">
        <v>779418</v>
      </c>
      <c r="F3" s="4" t="n">
        <v>910300</v>
      </c>
      <c r="G3" s="4" t="n">
        <v>850305</v>
      </c>
      <c r="H3" s="4" t="n">
        <v>902505</v>
      </c>
      <c r="I3" s="4" t="n">
        <v>707435</v>
      </c>
      <c r="J3" s="4" t="n">
        <v>830090</v>
      </c>
      <c r="K3" s="4" t="n">
        <v>730098</v>
      </c>
      <c r="L3" s="4" t="n">
        <v>894990</v>
      </c>
      <c r="M3" s="4" t="n">
        <v>979070</v>
      </c>
      <c r="N3" s="5">
        <f>SUM(B2:M2)</f>
        <v/>
      </c>
    </row>
    <row r="4">
      <c r="A4" s="3" t="inlineStr">
        <is>
          <t>Hardware Products</t>
        </is>
      </c>
      <c r="B4" s="4" t="n">
        <v>474023</v>
      </c>
      <c r="C4" s="4" t="n">
        <v>502582</v>
      </c>
      <c r="D4" s="4" t="n">
        <v>679227</v>
      </c>
      <c r="E4" s="4" t="n">
        <v>658763</v>
      </c>
      <c r="F4" s="4" t="n">
        <v>595485</v>
      </c>
      <c r="G4" s="4" t="n">
        <v>634036</v>
      </c>
      <c r="H4" s="4" t="n">
        <v>674821</v>
      </c>
      <c r="I4" s="4" t="n">
        <v>526078</v>
      </c>
      <c r="J4" s="4" t="n">
        <v>709634</v>
      </c>
      <c r="K4" s="4" t="n">
        <v>688637</v>
      </c>
      <c r="L4" s="4" t="n">
        <v>711676</v>
      </c>
      <c r="M4" s="4" t="n">
        <v>670241</v>
      </c>
      <c r="N4" s="5">
        <f>SUM(B3:M3)</f>
        <v/>
      </c>
    </row>
    <row r="5">
      <c r="A5" s="3" t="inlineStr">
        <is>
          <t>Cloud Services</t>
        </is>
      </c>
      <c r="B5" s="4" t="n">
        <v>889262</v>
      </c>
      <c r="C5" s="4" t="n">
        <v>743665</v>
      </c>
      <c r="D5" s="4" t="n">
        <v>807597</v>
      </c>
      <c r="E5" s="4" t="n">
        <v>808693</v>
      </c>
      <c r="F5" s="4" t="n">
        <v>1015908</v>
      </c>
      <c r="G5" s="4" t="n">
        <v>901196</v>
      </c>
      <c r="H5" s="4" t="n">
        <v>954529</v>
      </c>
      <c r="I5" s="4" t="n">
        <v>934235</v>
      </c>
      <c r="J5" s="4" t="n">
        <v>929998</v>
      </c>
      <c r="K5" s="4" t="n">
        <v>1050579</v>
      </c>
      <c r="L5" s="4" t="n">
        <v>1019446</v>
      </c>
      <c r="M5" s="4" t="n">
        <v>1074517</v>
      </c>
      <c r="N5" s="5">
        <f>SUM(B4:M4)</f>
        <v/>
      </c>
    </row>
    <row r="6">
      <c r="A6" s="3" t="inlineStr">
        <is>
          <t>Mobile Applications</t>
        </is>
      </c>
      <c r="B6" s="4" t="n">
        <v>392279</v>
      </c>
      <c r="C6" s="4" t="n">
        <v>369693</v>
      </c>
      <c r="D6" s="4" t="n">
        <v>465575</v>
      </c>
      <c r="E6" s="4" t="n">
        <v>429746</v>
      </c>
      <c r="F6" s="4" t="n">
        <v>445776</v>
      </c>
      <c r="G6" s="4" t="n">
        <v>344635</v>
      </c>
      <c r="H6" s="4" t="n">
        <v>366429</v>
      </c>
      <c r="I6" s="4" t="n">
        <v>373789</v>
      </c>
      <c r="J6" s="4" t="n">
        <v>367053</v>
      </c>
      <c r="K6" s="4" t="n">
        <v>386331</v>
      </c>
      <c r="L6" s="4" t="n">
        <v>425185</v>
      </c>
      <c r="M6" s="4" t="n">
        <v>450828</v>
      </c>
      <c r="N6" s="5">
        <f>SUM(B5:M5)</f>
        <v/>
      </c>
    </row>
    <row r="7">
      <c r="A7" s="3" t="inlineStr">
        <is>
          <t>Data Analytics</t>
        </is>
      </c>
      <c r="B7" s="4" t="n">
        <v>336147</v>
      </c>
      <c r="C7" s="4" t="n">
        <v>309902</v>
      </c>
      <c r="D7" s="4" t="n">
        <v>365200</v>
      </c>
      <c r="E7" s="4" t="n">
        <v>346883</v>
      </c>
      <c r="F7" s="4" t="n">
        <v>353435</v>
      </c>
      <c r="G7" s="4" t="n">
        <v>408289</v>
      </c>
      <c r="H7" s="4" t="n">
        <v>377032</v>
      </c>
      <c r="I7" s="4" t="n">
        <v>372818</v>
      </c>
      <c r="J7" s="4" t="n">
        <v>342509</v>
      </c>
      <c r="K7" s="4" t="n">
        <v>406120</v>
      </c>
      <c r="L7" s="4" t="n">
        <v>392872</v>
      </c>
      <c r="M7" s="4" t="n">
        <v>421196</v>
      </c>
      <c r="N7" s="5">
        <f>SUM(B6:M6)</f>
        <v/>
      </c>
    </row>
    <row r="8">
      <c r="A8" s="3" t="inlineStr">
        <is>
          <t>Security Systems</t>
        </is>
      </c>
      <c r="B8" s="4" t="n">
        <v>282700</v>
      </c>
      <c r="C8" s="4" t="n">
        <v>256852</v>
      </c>
      <c r="D8" s="4" t="n">
        <v>294954</v>
      </c>
      <c r="E8" s="4" t="n">
        <v>306061</v>
      </c>
      <c r="F8" s="4" t="n">
        <v>319828</v>
      </c>
      <c r="G8" s="4" t="n">
        <v>298311</v>
      </c>
      <c r="H8" s="4" t="n">
        <v>253105</v>
      </c>
      <c r="I8" s="4" t="n">
        <v>236828</v>
      </c>
      <c r="J8" s="4" t="n">
        <v>273944</v>
      </c>
      <c r="K8" s="4" t="n">
        <v>269793</v>
      </c>
      <c r="L8" s="4" t="n">
        <v>304583</v>
      </c>
      <c r="M8" s="4" t="n">
        <v>377813</v>
      </c>
      <c r="N8" s="5">
        <f>SUM(B7:M7)</f>
        <v/>
      </c>
    </row>
    <row r="9">
      <c r="A9" s="3" t="inlineStr">
        <is>
          <t>IoT Devices</t>
        </is>
      </c>
      <c r="B9" s="4" t="n">
        <v>170275</v>
      </c>
      <c r="C9" s="4" t="n">
        <v>144493</v>
      </c>
      <c r="D9" s="4" t="n">
        <v>188393</v>
      </c>
      <c r="E9" s="4" t="n">
        <v>174364</v>
      </c>
      <c r="F9" s="4" t="n">
        <v>202385</v>
      </c>
      <c r="G9" s="4" t="n">
        <v>168889</v>
      </c>
      <c r="H9" s="4" t="n">
        <v>158938</v>
      </c>
      <c r="I9" s="4" t="n">
        <v>158001</v>
      </c>
      <c r="J9" s="4" t="n">
        <v>183313</v>
      </c>
      <c r="K9" s="4" t="n">
        <v>167188</v>
      </c>
      <c r="L9" s="4" t="n">
        <v>212252</v>
      </c>
      <c r="M9" s="4" t="n">
        <v>231704</v>
      </c>
      <c r="N9" s="5">
        <f>SUM(B8:M8)</f>
        <v/>
      </c>
    </row>
    <row r="10">
      <c r="A10" s="3" t="inlineStr">
        <is>
          <t>AI Products</t>
        </is>
      </c>
      <c r="B10" s="4" t="n">
        <v>255547</v>
      </c>
      <c r="C10" s="4" t="n">
        <v>241312</v>
      </c>
      <c r="D10" s="4" t="n">
        <v>356270</v>
      </c>
      <c r="E10" s="4" t="n">
        <v>310885</v>
      </c>
      <c r="F10" s="4" t="n">
        <v>271954</v>
      </c>
      <c r="G10" s="4" t="n">
        <v>254487</v>
      </c>
      <c r="H10" s="4" t="n">
        <v>260012</v>
      </c>
      <c r="I10" s="4" t="n">
        <v>305759</v>
      </c>
      <c r="J10" s="4" t="n">
        <v>337163</v>
      </c>
      <c r="K10" s="4" t="n">
        <v>302760</v>
      </c>
      <c r="L10" s="4" t="n">
        <v>309819</v>
      </c>
      <c r="M10" s="4" t="n">
        <v>343839</v>
      </c>
      <c r="N10" s="5">
        <f>SUM(B9:M9)</f>
        <v/>
      </c>
    </row>
    <row r="11">
      <c r="A11" s="6" t="inlineStr">
        <is>
          <t>Monthly Totals</t>
        </is>
      </c>
      <c r="B11" s="7">
        <f>SUM(B2:B9)</f>
        <v/>
      </c>
      <c r="C11" s="7">
        <f>SUM(C2:C9)</f>
        <v/>
      </c>
      <c r="D11" s="7">
        <f>SUM(D2:D9)</f>
        <v/>
      </c>
      <c r="E11" s="7">
        <f>SUM(E2:E9)</f>
        <v/>
      </c>
      <c r="F11" s="7">
        <f>SUM(F2:F9)</f>
        <v/>
      </c>
      <c r="G11" s="7">
        <f>SUM(G2:G9)</f>
        <v/>
      </c>
      <c r="H11" s="7">
        <f>SUM(H2:H9)</f>
        <v/>
      </c>
      <c r="I11" s="7">
        <f>SUM(I2:I9)</f>
        <v/>
      </c>
      <c r="J11" s="7">
        <f>SUM(J2:J9)</f>
        <v/>
      </c>
      <c r="K11" s="7">
        <f>SUM(K2:K9)</f>
        <v/>
      </c>
      <c r="L11" s="7">
        <f>SUM(L2:L9)</f>
        <v/>
      </c>
      <c r="M11" s="7">
        <f>SUM(M2:M9)</f>
        <v/>
      </c>
      <c r="N11" s="7">
        <f>SUM(N2:N9)</f>
        <v/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8" t="inlineStr">
        <is>
          <t>Revenue Summary Statistics</t>
        </is>
      </c>
    </row>
    <row r="2">
      <c r="A2" s="9" t="n"/>
      <c r="B2" s="9" t="n"/>
    </row>
    <row r="3">
      <c r="A3" t="inlineStr">
        <is>
          <t>Total Annual Revenue</t>
        </is>
      </c>
      <c r="B3" s="10">
        <f>SUM('Monthly Product Revenue'!B3:M10)</f>
        <v/>
      </c>
    </row>
    <row r="4">
      <c r="A4" t="inlineStr">
        <is>
          <t>Average Monthly Revenue</t>
        </is>
      </c>
      <c r="B4" s="10">
        <f>AVERAGE('Monthly Product Revenue'!B11:M11)</f>
        <v/>
      </c>
    </row>
    <row r="5">
      <c r="A5" t="inlineStr">
        <is>
          <t>Highest Monthly Total</t>
        </is>
      </c>
      <c r="B5" s="10">
        <f>MAX('Monthly Product Revenue'!B11:M11)</f>
        <v/>
      </c>
    </row>
    <row r="6">
      <c r="A6" t="inlineStr">
        <is>
          <t>Lowest Monthly Total</t>
        </is>
      </c>
      <c r="B6" s="10">
        <f>MIN('Monthly Product Revenue'!B11:M11)</f>
        <v/>
      </c>
    </row>
    <row r="7">
      <c r="A7" t="inlineStr">
        <is>
          <t>Top Performing Product</t>
        </is>
      </c>
      <c r="B7" t="inlineStr">
        <is>
          <t>Software Solutions</t>
        </is>
      </c>
    </row>
    <row r="8">
      <c r="A8" t="inlineStr">
        <is>
          <t>Revenue Growth Potential</t>
        </is>
      </c>
      <c r="B8" t="inlineStr">
        <is>
          <t>High</t>
        </is>
      </c>
    </row>
    <row r="9">
      <c r="A9" t="inlineStr">
        <is>
          <t>Market Segments</t>
        </is>
      </c>
      <c r="B9" t="inlineStr">
        <is>
          <t>8 Product 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2026-02-26T11:48:38Z</dcterms:created>
  <dcterms:modified xmlns:dcterms="http://purl.org/dc/terms/" xmlns:xsi="http://www.w3.org/2001/XMLSchema-instance" xsi:type="dcterms:W3CDTF">2026-02-26T11:48:38Z</dcterms:modified>
</cp:coreProperties>
</file>